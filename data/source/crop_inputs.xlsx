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yastruzak/Documents/GitHub/apex-bmp-climate-cbw/data/source/"/>
    </mc:Choice>
  </mc:AlternateContent>
  <xr:revisionPtr revIDLastSave="0" documentId="13_ncr:1_{2B861544-5545-6E47-8D72-852E4C4593A4}" xr6:coauthVersionLast="47" xr6:coauthVersionMax="47" xr10:uidLastSave="{00000000-0000-0000-0000-000000000000}"/>
  <bookViews>
    <workbookView xWindow="3180" yWindow="1740" windowWidth="25180" windowHeight="16880" xr2:uid="{5C01664B-8F5D-E449-BA57-2435DAE4D4CB}"/>
  </bookViews>
  <sheets>
    <sheet name="HAY LAND-2000" sheetId="6" r:id="rId1"/>
    <sheet name="ROW CROPS-2000" sheetId="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6" i="5" l="1"/>
  <c r="F31" i="5"/>
  <c r="F28" i="5"/>
  <c r="D28" i="5"/>
  <c r="D31" i="5"/>
  <c r="D21" i="6"/>
  <c r="I34" i="5"/>
  <c r="I25" i="5"/>
  <c r="I28" i="5"/>
  <c r="I31" i="5"/>
  <c r="F34" i="5"/>
  <c r="E34" i="5"/>
  <c r="D34" i="5"/>
  <c r="C34" i="5"/>
  <c r="C28" i="5"/>
  <c r="F25" i="5"/>
  <c r="D25" i="5"/>
  <c r="E25" i="5"/>
  <c r="C25" i="5"/>
  <c r="E31" i="5"/>
  <c r="C31" i="5"/>
  <c r="E28" i="5" l="1"/>
  <c r="T23" i="6" l="1"/>
  <c r="R23" i="6"/>
  <c r="P23" i="6"/>
  <c r="N23" i="6"/>
  <c r="S23" i="6"/>
  <c r="Q23" i="6"/>
  <c r="O23" i="6"/>
  <c r="M23" i="6"/>
  <c r="V17" i="6"/>
  <c r="T17" i="6"/>
  <c r="R17" i="6"/>
  <c r="P17" i="6"/>
  <c r="N17" i="6"/>
  <c r="N21" i="6"/>
  <c r="M21" i="6"/>
  <c r="N19" i="6"/>
  <c r="M19" i="6"/>
  <c r="J23" i="6"/>
  <c r="H23" i="6"/>
  <c r="F23" i="6"/>
  <c r="D23" i="6"/>
  <c r="H21" i="6"/>
  <c r="F21" i="6"/>
  <c r="H19" i="6"/>
  <c r="D17" i="6"/>
  <c r="F19" i="6"/>
  <c r="D19" i="6"/>
  <c r="I23" i="6"/>
  <c r="G23" i="6"/>
  <c r="E23" i="6"/>
  <c r="C23" i="6"/>
  <c r="G21" i="6"/>
  <c r="E21" i="6"/>
  <c r="C21" i="6"/>
  <c r="C19" i="6"/>
  <c r="G19" i="6"/>
  <c r="E19" i="6"/>
  <c r="N16" i="6"/>
  <c r="J17" i="6"/>
  <c r="L17" i="6"/>
  <c r="H17" i="6"/>
  <c r="F17" i="6"/>
  <c r="D16" i="6"/>
  <c r="D24" i="5"/>
  <c r="N22" i="6" l="1"/>
  <c r="N20" i="6"/>
  <c r="N18" i="6"/>
  <c r="M22" i="6"/>
  <c r="G22" i="6"/>
  <c r="F22" i="6"/>
  <c r="E22" i="6"/>
  <c r="D22" i="6"/>
  <c r="H22" i="6" s="1"/>
  <c r="C22" i="6"/>
  <c r="M20" i="6"/>
  <c r="H20" i="6"/>
  <c r="G20" i="6"/>
  <c r="F20" i="6"/>
  <c r="E20" i="6"/>
  <c r="D20" i="6"/>
  <c r="C20" i="6"/>
  <c r="M18" i="6"/>
  <c r="H18" i="6"/>
  <c r="G18" i="6"/>
  <c r="F18" i="6"/>
  <c r="E18" i="6"/>
  <c r="D18" i="6"/>
  <c r="C18" i="6"/>
  <c r="K17" i="6"/>
  <c r="I17" i="6"/>
  <c r="G17" i="6"/>
  <c r="E17" i="6"/>
  <c r="C17" i="6"/>
  <c r="M16" i="6"/>
  <c r="C16" i="6"/>
  <c r="D32" i="5" l="1"/>
  <c r="D29" i="5"/>
  <c r="D26" i="5"/>
  <c r="D23" i="5"/>
  <c r="C23" i="5"/>
  <c r="J32" i="5"/>
  <c r="J29" i="5"/>
  <c r="J26" i="5"/>
  <c r="J23" i="5"/>
  <c r="I23" i="5"/>
  <c r="I30" i="5"/>
  <c r="I33" i="5"/>
  <c r="I27" i="5"/>
  <c r="F27" i="5" l="1"/>
  <c r="H27" i="5" s="1"/>
  <c r="J33" i="5"/>
  <c r="J30" i="5"/>
  <c r="J27" i="5"/>
  <c r="J24" i="5"/>
  <c r="F33" i="5"/>
  <c r="D33" i="5"/>
  <c r="F30" i="5"/>
  <c r="H30" i="5" s="1"/>
  <c r="D30" i="5"/>
  <c r="D27" i="5"/>
  <c r="F24" i="5"/>
  <c r="I24" i="5"/>
  <c r="I32" i="5" l="1"/>
  <c r="I29" i="5"/>
</calcChain>
</file>

<file path=xl/sharedStrings.xml><?xml version="1.0" encoding="utf-8"?>
<sst xmlns="http://schemas.openxmlformats.org/spreadsheetml/2006/main" count="181" uniqueCount="68">
  <si>
    <t>Physiographic Region</t>
  </si>
  <si>
    <t>County</t>
  </si>
  <si>
    <t>ID</t>
  </si>
  <si>
    <t>Crop</t>
  </si>
  <si>
    <t>Appalachia</t>
  </si>
  <si>
    <t>Chenango</t>
  </si>
  <si>
    <t>counties selected based on representative hydrologies given by CBW</t>
  </si>
  <si>
    <t>State</t>
  </si>
  <si>
    <t>NY</t>
  </si>
  <si>
    <t>N36017</t>
  </si>
  <si>
    <t>corn</t>
  </si>
  <si>
    <t>Piedmont</t>
  </si>
  <si>
    <t>Carroll</t>
  </si>
  <si>
    <t>MD</t>
  </si>
  <si>
    <t>N24013</t>
  </si>
  <si>
    <t>Valley and Ridge</t>
  </si>
  <si>
    <t>VA</t>
  </si>
  <si>
    <t>Coastal Plain</t>
  </si>
  <si>
    <t>Accomack</t>
  </si>
  <si>
    <t>N51001</t>
  </si>
  <si>
    <t>Washington</t>
  </si>
  <si>
    <t>via USDA NASS data from 2022 census</t>
  </si>
  <si>
    <t>representative crop by acres harvested</t>
  </si>
  <si>
    <t>soybean</t>
  </si>
  <si>
    <t>soybeans</t>
  </si>
  <si>
    <t>Planting date</t>
  </si>
  <si>
    <t>Harvest date</t>
  </si>
  <si>
    <t>N24043</t>
  </si>
  <si>
    <t>Nutrient Application Schedule</t>
  </si>
  <si>
    <t>Region</t>
  </si>
  <si>
    <t>Ndate-1</t>
  </si>
  <si>
    <t>Napp-1</t>
  </si>
  <si>
    <t>Ndate-2</t>
  </si>
  <si>
    <t>Papp-1</t>
  </si>
  <si>
    <t>Napp-2</t>
  </si>
  <si>
    <t>Pdate-1</t>
  </si>
  <si>
    <t>crop</t>
  </si>
  <si>
    <t>Ndate-3</t>
  </si>
  <si>
    <t>Napp-3</t>
  </si>
  <si>
    <t>CROP SELECTION</t>
  </si>
  <si>
    <t>N-Fertilizer</t>
  </si>
  <si>
    <t>N-manure</t>
  </si>
  <si>
    <t>P-fert</t>
  </si>
  <si>
    <t>P-manure</t>
  </si>
  <si>
    <t>TIMOTHY HAY</t>
  </si>
  <si>
    <t>Timothy Hay</t>
  </si>
  <si>
    <t xml:space="preserve">**note: pasture is same but with grazing </t>
  </si>
  <si>
    <t>Broome</t>
  </si>
  <si>
    <t>N36007</t>
  </si>
  <si>
    <t>Timothy-chen.</t>
  </si>
  <si>
    <t>Alfalfa</t>
  </si>
  <si>
    <t>Alfalfa-chen</t>
  </si>
  <si>
    <t>Ndate-4</t>
  </si>
  <si>
    <t>Napp-4</t>
  </si>
  <si>
    <t>Pdate-2</t>
  </si>
  <si>
    <t>Papp-2</t>
  </si>
  <si>
    <t>Pdate-3</t>
  </si>
  <si>
    <t>Papp-3</t>
  </si>
  <si>
    <t>Pdate-4</t>
  </si>
  <si>
    <t>Papp-4</t>
  </si>
  <si>
    <t>Pdate-5</t>
  </si>
  <si>
    <t>Papp-5</t>
  </si>
  <si>
    <t>Ndate-5</t>
  </si>
  <si>
    <t>Napp-5</t>
  </si>
  <si>
    <t>Nutrient Application Schedule - YR 2000</t>
  </si>
  <si>
    <t>Nutrient Application Rate (kg/ha) - 2000</t>
  </si>
  <si>
    <t>Timothy</t>
  </si>
  <si>
    <t>wheat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</si>
</sst>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2"/>
      <color rgb="FF000000"/>
      <name val="Aptos Narrow"/>
    </font>
    <font>
      <b/>
      <sz val="12"/>
      <color theme="1"/>
      <name val="Aptos Narrow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1">
    <xf numFmtId="0" fontId="0" fillId="0" borderId="0" xfId="0"/>
    <xf numFmtId="16" fontId="0" fillId="0" borderId="0" xfId="0" applyNumberFormat="1"/>
    <xf numFmtId="0" fontId="2" fillId="0" borderId="0" xfId="0" applyFont="1"/>
    <xf numFmtId="16" fontId="0" fillId="0" borderId="5" xfId="0" applyNumberFormat="1" applyBorder="1"/>
    <xf numFmtId="0" fontId="1" fillId="0" borderId="0" xfId="0" applyFont="1"/>
    <xf numFmtId="0" fontId="0" fillId="0" borderId="7" xfId="0" applyBorder="1"/>
    <xf numFmtId="16" fontId="0" fillId="0" borderId="7" xfId="0" applyNumberFormat="1" applyBorder="1"/>
    <xf numFmtId="16" fontId="0" fillId="0" borderId="8" xfId="0" applyNumberFormat="1" applyBorder="1"/>
    <xf numFmtId="0" fontId="2" fillId="0" borderId="9" xfId="0" applyFont="1" applyBorder="1"/>
    <xf numFmtId="0" fontId="2" fillId="0" borderId="10" xfId="0" applyFont="1" applyBorder="1"/>
    <xf numFmtId="0" fontId="2" fillId="0" borderId="11" xfId="0" applyFont="1" applyBorder="1"/>
    <xf numFmtId="0" fontId="3" fillId="0" borderId="9" xfId="0" applyFont="1" applyBorder="1"/>
    <xf numFmtId="0" fontId="3" fillId="0" borderId="10" xfId="0" applyFont="1" applyBorder="1"/>
    <xf numFmtId="0" fontId="3" fillId="0" borderId="11" xfId="0" applyFont="1" applyBorder="1"/>
    <xf numFmtId="0" fontId="0" fillId="0" borderId="2" xfId="0" applyBorder="1"/>
    <xf numFmtId="0" fontId="0" fillId="2" borderId="0" xfId="0" applyFill="1"/>
    <xf numFmtId="16" fontId="0" fillId="0" borderId="2" xfId="0" applyNumberFormat="1" applyBorder="1"/>
    <xf numFmtId="16" fontId="0" fillId="0" borderId="3" xfId="0" applyNumberFormat="1" applyBorder="1"/>
    <xf numFmtId="2" fontId="0" fillId="0" borderId="0" xfId="0" applyNumberFormat="1"/>
    <xf numFmtId="0" fontId="3" fillId="0" borderId="0" xfId="0" applyFont="1"/>
    <xf numFmtId="2" fontId="0" fillId="0" borderId="5" xfId="0" applyNumberFormat="1" applyBorder="1"/>
    <xf numFmtId="0" fontId="0" fillId="0" borderId="4" xfId="0" applyBorder="1"/>
    <xf numFmtId="0" fontId="0" fillId="0" borderId="6" xfId="0" applyBorder="1"/>
    <xf numFmtId="2" fontId="0" fillId="0" borderId="7" xfId="0" applyNumberFormat="1" applyBorder="1"/>
    <xf numFmtId="2" fontId="0" fillId="2" borderId="0" xfId="0" applyNumberFormat="1" applyFill="1"/>
    <xf numFmtId="2" fontId="0" fillId="0" borderId="2" xfId="0" applyNumberFormat="1" applyBorder="1"/>
    <xf numFmtId="0" fontId="0" fillId="2" borderId="2" xfId="0" applyFill="1" applyBorder="1"/>
    <xf numFmtId="2" fontId="0" fillId="0" borderId="3" xfId="0" applyNumberFormat="1" applyBorder="1"/>
    <xf numFmtId="2" fontId="0" fillId="0" borderId="8" xfId="0" applyNumberFormat="1" applyBorder="1"/>
    <xf numFmtId="0" fontId="3" fillId="0" borderId="2" xfId="0" applyFont="1" applyBorder="1"/>
    <xf numFmtId="2" fontId="4" fillId="0" borderId="2" xfId="0" applyNumberFormat="1" applyFont="1" applyBorder="1"/>
    <xf numFmtId="0" fontId="3" fillId="0" borderId="3" xfId="0" applyFont="1" applyBorder="1"/>
    <xf numFmtId="2" fontId="0" fillId="2" borderId="5" xfId="0" applyNumberFormat="1" applyFill="1" applyBorder="1"/>
    <xf numFmtId="16" fontId="0" fillId="2" borderId="0" xfId="0" applyNumberFormat="1" applyFill="1"/>
    <xf numFmtId="16" fontId="0" fillId="2" borderId="5" xfId="0" applyNumberFormat="1" applyFill="1" applyBorder="1"/>
    <xf numFmtId="16" fontId="0" fillId="2" borderId="2" xfId="0" applyNumberFormat="1" applyFill="1" applyBorder="1"/>
    <xf numFmtId="16" fontId="0" fillId="2" borderId="3" xfId="0" applyNumberFormat="1" applyFill="1" applyBorder="1"/>
    <xf numFmtId="0" fontId="1" fillId="2" borderId="0" xfId="0" applyFont="1" applyFill="1"/>
    <xf numFmtId="0" fontId="0" fillId="0" borderId="1" xfId="0" applyBorder="1" applyAlignment="1">
      <alignment horizontal="left" vertical="top"/>
    </xf>
    <xf numFmtId="0" fontId="0" fillId="0" borderId="4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3" fillId="0" borderId="9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0" fillId="0" borderId="2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0" xfId="0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0" fillId="0" borderId="2" xfId="0" applyBorder="1" applyAlignment="1">
      <alignment horizontal="center" vertical="top"/>
    </xf>
    <xf numFmtId="0" fontId="0" fillId="0" borderId="0" xfId="0" applyAlignment="1">
      <alignment horizontal="center" vertical="top"/>
    </xf>
    <xf numFmtId="0" fontId="0" fillId="0" borderId="0" xfId="0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" xfId="0" applyFill="1" applyBorder="1" applyAlignment="1">
      <alignment horizontal="left" vertical="top"/>
    </xf>
    <xf numFmtId="0" fontId="3" fillId="0" borderId="0" xfId="0" applyFont="1" applyFill="1"/>
    <xf numFmtId="16" fontId="0" fillId="0" borderId="0" xfId="0" applyNumberFormat="1" applyFill="1"/>
    <xf numFmtId="2" fontId="3" fillId="0" borderId="0" xfId="0" applyNumberFormat="1" applyFont="1" applyFill="1"/>
    <xf numFmtId="16" fontId="3" fillId="0" borderId="0" xfId="0" applyNumberFormat="1" applyFont="1" applyFill="1"/>
    <xf numFmtId="0" fontId="3" fillId="0" borderId="5" xfId="0" applyFont="1" applyFill="1" applyBorder="1"/>
    <xf numFmtId="0" fontId="0" fillId="0" borderId="4" xfId="0" applyFill="1" applyBorder="1" applyAlignment="1">
      <alignment horizontal="left" vertical="top"/>
    </xf>
    <xf numFmtId="0" fontId="0" fillId="0" borderId="0" xfId="0" applyFill="1"/>
    <xf numFmtId="2" fontId="0" fillId="0" borderId="0" xfId="0" applyNumberFormat="1" applyFill="1"/>
    <xf numFmtId="2" fontId="0" fillId="0" borderId="5" xfId="0" applyNumberFormat="1" applyFill="1" applyBorder="1"/>
    <xf numFmtId="0" fontId="0" fillId="0" borderId="2" xfId="0" applyFill="1" applyBorder="1"/>
    <xf numFmtId="16" fontId="0" fillId="0" borderId="2" xfId="0" applyNumberFormat="1" applyFill="1" applyBorder="1"/>
    <xf numFmtId="2" fontId="0" fillId="0" borderId="2" xfId="0" applyNumberFormat="1" applyFill="1" applyBorder="1"/>
    <xf numFmtId="1" fontId="0" fillId="0" borderId="2" xfId="0" applyNumberFormat="1" applyFill="1" applyBorder="1"/>
    <xf numFmtId="2" fontId="0" fillId="0" borderId="3" xfId="0" applyNumberFormat="1" applyFill="1" applyBorder="1"/>
    <xf numFmtId="1" fontId="0" fillId="0" borderId="0" xfId="0" applyNumberFormat="1" applyFill="1"/>
    <xf numFmtId="1" fontId="0" fillId="0" borderId="3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A9D966-2CF7-FD4C-B5EC-C2E1E21AC49A}">
  <dimension ref="A1:V34"/>
  <sheetViews>
    <sheetView tabSelected="1" workbookViewId="0">
      <selection activeCell="D23" sqref="D23"/>
    </sheetView>
  </sheetViews>
  <sheetFormatPr baseColWidth="10" defaultColWidth="11" defaultRowHeight="16" x14ac:dyDescent="0.2"/>
  <cols>
    <col min="1" max="1" width="19" bestFit="1" customWidth="1"/>
    <col min="2" max="2" width="14.5" bestFit="1" customWidth="1"/>
    <col min="4" max="4" width="12.1640625" bestFit="1" customWidth="1"/>
  </cols>
  <sheetData>
    <row r="1" spans="1:22" x14ac:dyDescent="0.2">
      <c r="A1" t="s">
        <v>44</v>
      </c>
    </row>
    <row r="2" spans="1:22" x14ac:dyDescent="0.2">
      <c r="A2" s="41" t="s">
        <v>39</v>
      </c>
      <c r="B2" s="42"/>
      <c r="C2" s="42"/>
      <c r="D2" s="42"/>
      <c r="E2" s="42"/>
      <c r="F2" s="42"/>
      <c r="G2" s="43"/>
      <c r="N2" t="s">
        <v>46</v>
      </c>
    </row>
    <row r="3" spans="1:22" x14ac:dyDescent="0.2">
      <c r="A3" s="8" t="s">
        <v>0</v>
      </c>
      <c r="B3" s="9" t="s">
        <v>1</v>
      </c>
      <c r="C3" s="9" t="s">
        <v>7</v>
      </c>
      <c r="D3" s="9" t="s">
        <v>2</v>
      </c>
      <c r="E3" s="9" t="s">
        <v>3</v>
      </c>
      <c r="F3" s="9" t="s">
        <v>25</v>
      </c>
      <c r="G3" s="10" t="s">
        <v>26</v>
      </c>
    </row>
    <row r="4" spans="1:22" x14ac:dyDescent="0.2">
      <c r="A4" s="38" t="s">
        <v>4</v>
      </c>
      <c r="B4" s="44" t="s">
        <v>5</v>
      </c>
      <c r="C4" s="44" t="s">
        <v>8</v>
      </c>
      <c r="D4" s="26" t="s">
        <v>9</v>
      </c>
      <c r="E4" s="26" t="s">
        <v>45</v>
      </c>
      <c r="F4" s="35">
        <v>45870</v>
      </c>
      <c r="G4" s="36">
        <v>45778</v>
      </c>
    </row>
    <row r="5" spans="1:22" x14ac:dyDescent="0.2">
      <c r="A5" s="39"/>
      <c r="B5" s="45"/>
      <c r="C5" s="45"/>
      <c r="E5" t="s">
        <v>50</v>
      </c>
      <c r="F5" s="1">
        <v>45748</v>
      </c>
      <c r="G5" s="3">
        <v>45901</v>
      </c>
    </row>
    <row r="6" spans="1:22" x14ac:dyDescent="0.2">
      <c r="A6" s="39"/>
      <c r="B6" t="s">
        <v>47</v>
      </c>
      <c r="C6" t="s">
        <v>8</v>
      </c>
      <c r="D6" t="s">
        <v>48</v>
      </c>
      <c r="E6" t="s">
        <v>45</v>
      </c>
      <c r="F6" s="1">
        <v>45870</v>
      </c>
      <c r="G6" s="3">
        <v>45778</v>
      </c>
    </row>
    <row r="7" spans="1:22" x14ac:dyDescent="0.2">
      <c r="A7" s="21" t="s">
        <v>11</v>
      </c>
      <c r="B7" t="s">
        <v>12</v>
      </c>
      <c r="C7" t="s">
        <v>13</v>
      </c>
      <c r="D7" s="15" t="s">
        <v>14</v>
      </c>
      <c r="E7" s="15" t="s">
        <v>45</v>
      </c>
      <c r="F7" s="33">
        <v>45870</v>
      </c>
      <c r="G7" s="34">
        <v>45778</v>
      </c>
    </row>
    <row r="8" spans="1:22" x14ac:dyDescent="0.2">
      <c r="A8" s="21"/>
      <c r="E8" t="s">
        <v>50</v>
      </c>
      <c r="F8" s="1">
        <v>45748</v>
      </c>
      <c r="G8" s="3">
        <v>45901</v>
      </c>
    </row>
    <row r="9" spans="1:22" x14ac:dyDescent="0.2">
      <c r="A9" s="21" t="s">
        <v>15</v>
      </c>
      <c r="B9" t="s">
        <v>20</v>
      </c>
      <c r="C9" t="s">
        <v>13</v>
      </c>
      <c r="D9" s="37" t="s">
        <v>27</v>
      </c>
      <c r="E9" s="15" t="s">
        <v>45</v>
      </c>
      <c r="F9" s="33">
        <v>45870</v>
      </c>
      <c r="G9" s="34">
        <v>45778</v>
      </c>
    </row>
    <row r="10" spans="1:22" x14ac:dyDescent="0.2">
      <c r="A10" s="21"/>
      <c r="D10" s="4"/>
      <c r="E10" t="s">
        <v>50</v>
      </c>
      <c r="F10" s="1">
        <v>45748</v>
      </c>
      <c r="G10" s="3">
        <v>45901</v>
      </c>
    </row>
    <row r="11" spans="1:22" x14ac:dyDescent="0.2">
      <c r="A11" t="s">
        <v>17</v>
      </c>
      <c r="B11" t="s">
        <v>18</v>
      </c>
      <c r="C11" t="s">
        <v>16</v>
      </c>
      <c r="D11" s="15" t="s">
        <v>19</v>
      </c>
      <c r="E11" s="15" t="s">
        <v>45</v>
      </c>
      <c r="F11" s="33">
        <v>45748</v>
      </c>
      <c r="G11" s="34">
        <v>45931</v>
      </c>
    </row>
    <row r="12" spans="1:22" x14ac:dyDescent="0.2">
      <c r="A12" s="22"/>
      <c r="B12" s="5"/>
      <c r="C12" s="5"/>
      <c r="D12" s="5"/>
      <c r="E12" t="s">
        <v>50</v>
      </c>
      <c r="F12" s="6">
        <v>45748</v>
      </c>
      <c r="G12" s="7">
        <v>45962</v>
      </c>
    </row>
    <row r="14" spans="1:22" x14ac:dyDescent="0.2">
      <c r="A14" s="47" t="s">
        <v>28</v>
      </c>
      <c r="B14" s="48"/>
      <c r="C14" s="48"/>
      <c r="D14" s="48"/>
      <c r="E14" s="48"/>
      <c r="F14" s="48"/>
      <c r="G14" s="48"/>
      <c r="H14" s="48"/>
      <c r="I14" s="48"/>
      <c r="J14" s="48"/>
      <c r="K14" s="48"/>
      <c r="L14" s="48"/>
      <c r="M14" s="48"/>
      <c r="N14" s="49"/>
    </row>
    <row r="15" spans="1:22" x14ac:dyDescent="0.2">
      <c r="A15" s="11" t="s">
        <v>29</v>
      </c>
      <c r="B15" s="12" t="s">
        <v>36</v>
      </c>
      <c r="C15" s="12" t="s">
        <v>30</v>
      </c>
      <c r="D15" s="12" t="s">
        <v>31</v>
      </c>
      <c r="E15" s="12" t="s">
        <v>32</v>
      </c>
      <c r="F15" s="12" t="s">
        <v>34</v>
      </c>
      <c r="G15" s="12" t="s">
        <v>37</v>
      </c>
      <c r="H15" s="12" t="s">
        <v>38</v>
      </c>
      <c r="I15" s="12" t="s">
        <v>52</v>
      </c>
      <c r="J15" s="12" t="s">
        <v>53</v>
      </c>
      <c r="K15" s="12" t="s">
        <v>62</v>
      </c>
      <c r="L15" s="12" t="s">
        <v>63</v>
      </c>
      <c r="M15" s="12" t="s">
        <v>35</v>
      </c>
      <c r="N15" s="13" t="s">
        <v>33</v>
      </c>
      <c r="O15" s="12" t="s">
        <v>54</v>
      </c>
      <c r="P15" s="13" t="s">
        <v>55</v>
      </c>
      <c r="Q15" s="12" t="s">
        <v>56</v>
      </c>
      <c r="R15" s="13" t="s">
        <v>57</v>
      </c>
      <c r="S15" s="12" t="s">
        <v>58</v>
      </c>
      <c r="T15" s="13" t="s">
        <v>59</v>
      </c>
      <c r="U15" s="12" t="s">
        <v>60</v>
      </c>
      <c r="V15" s="13" t="s">
        <v>61</v>
      </c>
    </row>
    <row r="16" spans="1:22" x14ac:dyDescent="0.2">
      <c r="A16" s="50" t="s">
        <v>4</v>
      </c>
      <c r="B16" s="26" t="s">
        <v>49</v>
      </c>
      <c r="C16" s="33">
        <f>F4-20</f>
        <v>45850</v>
      </c>
      <c r="D16" s="15">
        <f>C27*1</f>
        <v>36.878230334131359</v>
      </c>
      <c r="E16" s="15"/>
      <c r="F16" s="15"/>
      <c r="G16" s="15"/>
      <c r="H16" s="15"/>
      <c r="I16" s="15"/>
      <c r="J16" s="15"/>
      <c r="K16" s="15"/>
      <c r="L16" s="15"/>
      <c r="M16" s="33">
        <f>F4-20</f>
        <v>45850</v>
      </c>
      <c r="N16" s="24">
        <f>E27</f>
        <v>5.2472409750000004</v>
      </c>
      <c r="O16" s="15"/>
      <c r="P16" s="15"/>
      <c r="Q16" s="15"/>
    </row>
    <row r="17" spans="1:22" x14ac:dyDescent="0.2">
      <c r="A17" s="51"/>
      <c r="B17" t="s">
        <v>51</v>
      </c>
      <c r="C17" s="1">
        <f>F5-20</f>
        <v>45728</v>
      </c>
      <c r="D17">
        <f>0.2*C28</f>
        <v>0.35561702880000001</v>
      </c>
      <c r="E17" s="1">
        <f>F5+30</f>
        <v>45778</v>
      </c>
      <c r="F17">
        <f>0.2*C28</f>
        <v>0.35561702880000001</v>
      </c>
      <c r="G17" s="1">
        <f>F5+60</f>
        <v>45808</v>
      </c>
      <c r="H17">
        <f>0.2*C28</f>
        <v>0.35561702880000001</v>
      </c>
      <c r="I17" s="1">
        <f>F5+90</f>
        <v>45838</v>
      </c>
      <c r="J17">
        <f>0.2*C28</f>
        <v>0.35561702880000001</v>
      </c>
      <c r="K17" s="1">
        <f>F5+120</f>
        <v>45868</v>
      </c>
      <c r="L17">
        <f>0.2*C28</f>
        <v>0.35561702880000001</v>
      </c>
      <c r="M17" s="1">
        <v>45728</v>
      </c>
      <c r="N17">
        <f>0.2*$E$28</f>
        <v>2.0555581260000002</v>
      </c>
      <c r="O17" s="1">
        <v>45778</v>
      </c>
      <c r="P17">
        <f>0.2*$E$28</f>
        <v>2.0555581260000002</v>
      </c>
      <c r="Q17" s="1">
        <v>45808</v>
      </c>
      <c r="R17">
        <f>0.2*$E$28</f>
        <v>2.0555581260000002</v>
      </c>
      <c r="S17" s="1">
        <v>45838</v>
      </c>
      <c r="T17">
        <f>0.2*$E$28</f>
        <v>2.0555581260000002</v>
      </c>
      <c r="U17" s="1">
        <v>45868</v>
      </c>
      <c r="V17">
        <f>0.2*$E$28</f>
        <v>2.0555581260000002</v>
      </c>
    </row>
    <row r="18" spans="1:22" x14ac:dyDescent="0.2">
      <c r="A18" s="51" t="s">
        <v>11</v>
      </c>
      <c r="B18" s="15" t="s">
        <v>45</v>
      </c>
      <c r="C18" s="33">
        <f>F7</f>
        <v>45870</v>
      </c>
      <c r="D18" s="15" t="e">
        <f>0.6*F26</f>
        <v>#VALUE!</v>
      </c>
      <c r="E18" s="33">
        <f>F7+60</f>
        <v>45930</v>
      </c>
      <c r="F18" s="15" t="e">
        <f>F26*0.1</f>
        <v>#VALUE!</v>
      </c>
      <c r="G18" s="33">
        <f>F7+150</f>
        <v>46020</v>
      </c>
      <c r="H18" s="15" t="e">
        <f>F26*0.3</f>
        <v>#VALUE!</v>
      </c>
      <c r="I18" s="15"/>
      <c r="J18" s="15"/>
      <c r="K18" s="15"/>
      <c r="L18" s="15"/>
      <c r="M18" s="33">
        <f>F7</f>
        <v>45870</v>
      </c>
      <c r="N18" s="15">
        <f>I26</f>
        <v>0</v>
      </c>
    </row>
    <row r="19" spans="1:22" x14ac:dyDescent="0.2">
      <c r="A19" s="51"/>
      <c r="B19" t="s">
        <v>50</v>
      </c>
      <c r="C19" s="1">
        <f>F8</f>
        <v>45748</v>
      </c>
      <c r="D19">
        <f>0.6*C30</f>
        <v>1.703071233</v>
      </c>
      <c r="E19" s="1">
        <f>F8+60</f>
        <v>45808</v>
      </c>
      <c r="F19">
        <f>0.1*C30</f>
        <v>0.28384520549999998</v>
      </c>
      <c r="G19" s="1">
        <f>F8+150</f>
        <v>45898</v>
      </c>
      <c r="H19">
        <f>0.3*C30</f>
        <v>0.85153561649999998</v>
      </c>
      <c r="M19" s="1">
        <f>F8</f>
        <v>45748</v>
      </c>
      <c r="N19" s="18">
        <f>E28</f>
        <v>10.27779063</v>
      </c>
    </row>
    <row r="20" spans="1:22" x14ac:dyDescent="0.2">
      <c r="A20" s="51" t="s">
        <v>15</v>
      </c>
      <c r="B20" s="15" t="s">
        <v>45</v>
      </c>
      <c r="C20" s="33">
        <f>F9</f>
        <v>45870</v>
      </c>
      <c r="D20" s="15" t="e">
        <f>#REF!*0.6</f>
        <v>#REF!</v>
      </c>
      <c r="E20" s="33">
        <f>F9+60</f>
        <v>45930</v>
      </c>
      <c r="F20" s="15" t="e">
        <f>#REF!*0.1</f>
        <v>#REF!</v>
      </c>
      <c r="G20" s="33">
        <f>F9+150</f>
        <v>46020</v>
      </c>
      <c r="H20" s="15" t="e">
        <f>#REF!*0.3</f>
        <v>#REF!</v>
      </c>
      <c r="I20" s="15"/>
      <c r="J20" s="15"/>
      <c r="K20" s="15"/>
      <c r="L20" s="15"/>
      <c r="M20" s="33">
        <f>F9</f>
        <v>45870</v>
      </c>
      <c r="N20" s="15" t="e">
        <f>#REF!</f>
        <v>#REF!</v>
      </c>
    </row>
    <row r="21" spans="1:22" x14ac:dyDescent="0.2">
      <c r="A21" s="51"/>
      <c r="B21" t="s">
        <v>50</v>
      </c>
      <c r="C21" s="1">
        <f>F10</f>
        <v>45748</v>
      </c>
      <c r="D21">
        <f>0.6*C32</f>
        <v>1.2059999999999997</v>
      </c>
      <c r="E21" s="1">
        <f>F10+60</f>
        <v>45808</v>
      </c>
      <c r="F21">
        <f>0.1*C32</f>
        <v>0.20099999999999998</v>
      </c>
      <c r="G21" s="1">
        <f>F8+150</f>
        <v>45898</v>
      </c>
      <c r="H21">
        <f>0.3*C32</f>
        <v>0.60299999999999987</v>
      </c>
      <c r="M21" s="1">
        <f>F10</f>
        <v>45748</v>
      </c>
      <c r="N21" s="18">
        <f>E32</f>
        <v>9.1999999999999993</v>
      </c>
    </row>
    <row r="22" spans="1:22" x14ac:dyDescent="0.2">
      <c r="A22" s="52" t="s">
        <v>17</v>
      </c>
      <c r="B22" s="15" t="s">
        <v>45</v>
      </c>
      <c r="C22" s="33">
        <f>F12+20</f>
        <v>45768</v>
      </c>
      <c r="D22" s="15" t="e">
        <f>#REF!*0.4375</f>
        <v>#REF!</v>
      </c>
      <c r="E22" s="33">
        <f>F12+60</f>
        <v>45808</v>
      </c>
      <c r="F22" s="15" t="e">
        <f>#REF!*0.28125</f>
        <v>#REF!</v>
      </c>
      <c r="G22" s="33">
        <f>F12+120</f>
        <v>45868</v>
      </c>
      <c r="H22" s="15" t="e">
        <f>#REF!-D22-F22</f>
        <v>#REF!</v>
      </c>
      <c r="I22" s="15"/>
      <c r="J22" s="15"/>
      <c r="K22" s="15"/>
      <c r="L22" s="15"/>
      <c r="M22" s="33">
        <f>F12+20</f>
        <v>45768</v>
      </c>
      <c r="N22" s="15" t="e">
        <f>#REF!</f>
        <v>#REF!</v>
      </c>
    </row>
    <row r="23" spans="1:22" x14ac:dyDescent="0.2">
      <c r="A23" s="53"/>
      <c r="B23" t="s">
        <v>50</v>
      </c>
      <c r="C23" s="1">
        <f>F12-20</f>
        <v>45728</v>
      </c>
      <c r="D23">
        <f>0.25*$C$34</f>
        <v>0.77523194611652435</v>
      </c>
      <c r="E23" s="1">
        <f>F12</f>
        <v>45748</v>
      </c>
      <c r="F23">
        <f>0.25*$C$34</f>
        <v>0.77523194611652435</v>
      </c>
      <c r="G23" s="1">
        <f>F12+120</f>
        <v>45868</v>
      </c>
      <c r="H23">
        <f>0.25*$C$34</f>
        <v>0.77523194611652435</v>
      </c>
      <c r="I23" s="1">
        <f>F12+240</f>
        <v>45988</v>
      </c>
      <c r="J23">
        <f>0.25*$C$34</f>
        <v>0.77523194611652435</v>
      </c>
      <c r="M23" s="1">
        <f>F12-20</f>
        <v>45728</v>
      </c>
      <c r="N23">
        <f>0.25*$E$34</f>
        <v>2.24235301575</v>
      </c>
      <c r="O23" s="1">
        <f>F12</f>
        <v>45748</v>
      </c>
      <c r="P23">
        <f>0.25*$E$34</f>
        <v>2.24235301575</v>
      </c>
      <c r="Q23" s="1">
        <f>F12+120</f>
        <v>45868</v>
      </c>
      <c r="R23">
        <f>0.25*$E$34</f>
        <v>2.24235301575</v>
      </c>
      <c r="S23" s="1">
        <f>F12+240</f>
        <v>45988</v>
      </c>
      <c r="T23">
        <f>0.25*$E$34</f>
        <v>2.24235301575</v>
      </c>
    </row>
    <row r="24" spans="1:22" x14ac:dyDescent="0.2">
      <c r="A24" s="47"/>
      <c r="B24" s="48"/>
      <c r="C24" s="48"/>
      <c r="D24" s="48"/>
      <c r="E24" s="48"/>
      <c r="F24" s="48"/>
      <c r="G24" s="48"/>
      <c r="H24" s="48"/>
      <c r="I24" s="49"/>
      <c r="J24" s="2"/>
      <c r="K24" s="2"/>
      <c r="L24" s="2"/>
      <c r="M24" s="2"/>
      <c r="N24" s="2"/>
    </row>
    <row r="25" spans="1:22" x14ac:dyDescent="0.2">
      <c r="A25" s="41" t="s">
        <v>65</v>
      </c>
      <c r="B25" s="42"/>
      <c r="C25" s="42"/>
      <c r="D25" s="42"/>
      <c r="E25" s="42"/>
      <c r="F25" s="43"/>
      <c r="G25" s="19"/>
    </row>
    <row r="26" spans="1:22" x14ac:dyDescent="0.2">
      <c r="A26" s="11" t="s">
        <v>29</v>
      </c>
      <c r="B26" s="12" t="s">
        <v>36</v>
      </c>
      <c r="C26" s="12" t="s">
        <v>40</v>
      </c>
      <c r="D26" s="12" t="s">
        <v>41</v>
      </c>
      <c r="E26" s="12" t="s">
        <v>42</v>
      </c>
      <c r="F26" s="13" t="s">
        <v>43</v>
      </c>
      <c r="G26" s="19"/>
      <c r="H26" s="19"/>
      <c r="I26" s="19"/>
    </row>
    <row r="27" spans="1:22" x14ac:dyDescent="0.2">
      <c r="A27" s="39" t="s">
        <v>4</v>
      </c>
      <c r="B27" s="15" t="s">
        <v>66</v>
      </c>
      <c r="C27" s="24">
        <v>36.878230334131359</v>
      </c>
      <c r="D27" s="24"/>
      <c r="E27" s="24">
        <v>5.2472409750000004</v>
      </c>
      <c r="F27" s="32"/>
    </row>
    <row r="28" spans="1:22" x14ac:dyDescent="0.2">
      <c r="A28" s="40"/>
      <c r="B28" s="5" t="s">
        <v>50</v>
      </c>
      <c r="C28" s="23">
        <v>1.7780851440000001</v>
      </c>
      <c r="D28" s="23"/>
      <c r="E28" s="23">
        <v>10.27779063</v>
      </c>
      <c r="F28" s="28"/>
      <c r="G28" s="18"/>
    </row>
    <row r="29" spans="1:22" x14ac:dyDescent="0.2">
      <c r="A29" s="39" t="s">
        <v>11</v>
      </c>
      <c r="B29" s="15" t="s">
        <v>66</v>
      </c>
      <c r="C29" s="24">
        <v>36.028639060000003</v>
      </c>
      <c r="D29" s="24"/>
      <c r="E29" s="24">
        <v>4.0361270170000001</v>
      </c>
      <c r="F29" s="32"/>
      <c r="G29" s="18"/>
    </row>
    <row r="30" spans="1:22" x14ac:dyDescent="0.2">
      <c r="A30" s="40"/>
      <c r="B30" s="5" t="s">
        <v>50</v>
      </c>
      <c r="C30" s="23">
        <v>2.8384520549999999</v>
      </c>
      <c r="D30" s="23"/>
      <c r="E30" s="23">
        <v>9.2574013470000001</v>
      </c>
      <c r="F30" s="28"/>
      <c r="G30" s="18"/>
    </row>
    <row r="31" spans="1:22" x14ac:dyDescent="0.2">
      <c r="A31" s="39" t="s">
        <v>15</v>
      </c>
      <c r="B31" s="15" t="s">
        <v>66</v>
      </c>
      <c r="C31" s="24">
        <v>35.568734239999998</v>
      </c>
      <c r="D31" s="24"/>
      <c r="E31" s="24">
        <v>4.1482659450000003</v>
      </c>
      <c r="F31" s="32"/>
      <c r="G31" s="18"/>
    </row>
    <row r="32" spans="1:22" x14ac:dyDescent="0.2">
      <c r="A32" s="40"/>
      <c r="B32" s="5" t="s">
        <v>50</v>
      </c>
      <c r="C32" s="23">
        <v>2.0099999999999998</v>
      </c>
      <c r="D32" s="23"/>
      <c r="E32" s="23">
        <v>9.1999999999999993</v>
      </c>
      <c r="F32" s="28"/>
      <c r="G32" s="18"/>
    </row>
    <row r="33" spans="1:7" x14ac:dyDescent="0.2">
      <c r="A33" s="39" t="s">
        <v>17</v>
      </c>
      <c r="B33" s="15" t="s">
        <v>66</v>
      </c>
      <c r="C33" s="24">
        <v>44.249098529999998</v>
      </c>
      <c r="D33" s="24"/>
      <c r="E33" s="24">
        <v>6.942667288</v>
      </c>
      <c r="F33" s="32"/>
      <c r="G33" s="18"/>
    </row>
    <row r="34" spans="1:7" x14ac:dyDescent="0.2">
      <c r="A34" s="40"/>
      <c r="B34" s="5" t="s">
        <v>50</v>
      </c>
      <c r="C34" s="23">
        <v>3.1009277844660974</v>
      </c>
      <c r="D34" s="23"/>
      <c r="E34" s="23">
        <v>8.969412063</v>
      </c>
      <c r="F34" s="28"/>
      <c r="G34" s="18"/>
    </row>
  </sheetData>
  <mergeCells count="15">
    <mergeCell ref="A25:F25"/>
    <mergeCell ref="A27:A28"/>
    <mergeCell ref="A29:A30"/>
    <mergeCell ref="A31:A32"/>
    <mergeCell ref="A33:A34"/>
    <mergeCell ref="A24:I24"/>
    <mergeCell ref="A2:G2"/>
    <mergeCell ref="A4:A6"/>
    <mergeCell ref="B4:B5"/>
    <mergeCell ref="C4:C5"/>
    <mergeCell ref="A14:N14"/>
    <mergeCell ref="A16:A17"/>
    <mergeCell ref="A18:A19"/>
    <mergeCell ref="A20:A21"/>
    <mergeCell ref="A22:A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DDB128-4981-6247-8479-285AA0E389B8}">
  <dimension ref="A1:S49"/>
  <sheetViews>
    <sheetView zoomScale="90" zoomScaleNormal="90" workbookViewId="0">
      <selection activeCell="K22" sqref="K22"/>
    </sheetView>
  </sheetViews>
  <sheetFormatPr baseColWidth="10" defaultColWidth="11" defaultRowHeight="16" x14ac:dyDescent="0.2"/>
  <cols>
    <col min="1" max="1" width="24.33203125" bestFit="1" customWidth="1"/>
    <col min="2" max="2" width="14.1640625" bestFit="1" customWidth="1"/>
    <col min="3" max="3" width="13.5" bestFit="1" customWidth="1"/>
    <col min="5" max="5" width="19.83203125" bestFit="1" customWidth="1"/>
    <col min="6" max="6" width="12.5" bestFit="1" customWidth="1"/>
    <col min="7" max="7" width="11.5" bestFit="1" customWidth="1"/>
    <col min="9" max="9" width="14" customWidth="1"/>
    <col min="11" max="11" width="18" bestFit="1" customWidth="1"/>
    <col min="12" max="12" width="20" customWidth="1"/>
    <col min="13" max="13" width="17.83203125" customWidth="1"/>
  </cols>
  <sheetData>
    <row r="1" spans="1:19" x14ac:dyDescent="0.2">
      <c r="A1" t="s">
        <v>22</v>
      </c>
    </row>
    <row r="2" spans="1:19" x14ac:dyDescent="0.2">
      <c r="A2" t="s">
        <v>21</v>
      </c>
    </row>
    <row r="3" spans="1:19" x14ac:dyDescent="0.2">
      <c r="A3" t="s">
        <v>6</v>
      </c>
    </row>
    <row r="5" spans="1:19" x14ac:dyDescent="0.2">
      <c r="A5" s="41" t="s">
        <v>39</v>
      </c>
      <c r="B5" s="42"/>
      <c r="C5" s="42"/>
      <c r="D5" s="42"/>
      <c r="E5" s="42"/>
      <c r="F5" s="42"/>
      <c r="G5" s="43"/>
    </row>
    <row r="6" spans="1:19" x14ac:dyDescent="0.2">
      <c r="A6" s="8" t="s">
        <v>0</v>
      </c>
      <c r="B6" s="9" t="s">
        <v>1</v>
      </c>
      <c r="C6" s="9" t="s">
        <v>7</v>
      </c>
      <c r="D6" s="9" t="s">
        <v>2</v>
      </c>
      <c r="E6" s="9" t="s">
        <v>3</v>
      </c>
      <c r="F6" s="9" t="s">
        <v>25</v>
      </c>
      <c r="G6" s="10" t="s">
        <v>26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</row>
    <row r="7" spans="1:19" x14ac:dyDescent="0.2">
      <c r="A7" s="38" t="s">
        <v>4</v>
      </c>
      <c r="B7" s="44" t="s">
        <v>5</v>
      </c>
      <c r="C7" s="14" t="s">
        <v>8</v>
      </c>
      <c r="D7" s="14" t="s">
        <v>9</v>
      </c>
      <c r="E7" s="14" t="s">
        <v>10</v>
      </c>
      <c r="F7" s="16">
        <v>45778</v>
      </c>
      <c r="G7" s="17">
        <v>45931</v>
      </c>
      <c r="I7" s="1"/>
      <c r="K7" s="1"/>
      <c r="M7" s="1"/>
      <c r="O7" s="1"/>
      <c r="Q7" s="1"/>
      <c r="S7" s="1"/>
    </row>
    <row r="8" spans="1:19" x14ac:dyDescent="0.2">
      <c r="A8" s="39"/>
      <c r="B8" s="45"/>
      <c r="E8" t="s">
        <v>67</v>
      </c>
      <c r="F8" s="1">
        <v>46296</v>
      </c>
      <c r="G8" s="3">
        <v>46204</v>
      </c>
      <c r="I8" s="1"/>
      <c r="K8" s="1"/>
      <c r="M8" s="1"/>
      <c r="O8" s="1"/>
      <c r="Q8" s="1"/>
      <c r="S8" s="1"/>
    </row>
    <row r="9" spans="1:19" x14ac:dyDescent="0.2">
      <c r="A9" s="39"/>
      <c r="B9" s="45"/>
      <c r="E9" t="s">
        <v>23</v>
      </c>
      <c r="F9" s="1">
        <v>45778</v>
      </c>
      <c r="G9" s="3">
        <v>45930</v>
      </c>
      <c r="I9" s="1"/>
      <c r="K9" s="1"/>
      <c r="M9" s="1"/>
      <c r="O9" s="1"/>
      <c r="Q9" s="1"/>
      <c r="S9" s="1"/>
    </row>
    <row r="10" spans="1:19" x14ac:dyDescent="0.2">
      <c r="A10" s="39" t="s">
        <v>11</v>
      </c>
      <c r="B10" s="39" t="s">
        <v>12</v>
      </c>
      <c r="C10" t="s">
        <v>13</v>
      </c>
      <c r="D10" t="s">
        <v>14</v>
      </c>
      <c r="E10" t="s">
        <v>23</v>
      </c>
      <c r="F10" s="1">
        <v>45778</v>
      </c>
      <c r="G10" s="3">
        <v>45931</v>
      </c>
    </row>
    <row r="11" spans="1:19" x14ac:dyDescent="0.2">
      <c r="A11" s="39"/>
      <c r="B11" s="39"/>
      <c r="E11" t="s">
        <v>67</v>
      </c>
      <c r="F11" s="1">
        <v>46296</v>
      </c>
      <c r="G11" s="3">
        <v>46204</v>
      </c>
    </row>
    <row r="12" spans="1:19" x14ac:dyDescent="0.2">
      <c r="A12" s="39"/>
      <c r="B12" s="39"/>
      <c r="E12" t="s">
        <v>10</v>
      </c>
      <c r="F12" s="1">
        <v>45748</v>
      </c>
      <c r="G12" s="3">
        <v>45931</v>
      </c>
    </row>
    <row r="13" spans="1:19" x14ac:dyDescent="0.2">
      <c r="A13" s="39" t="s">
        <v>15</v>
      </c>
      <c r="B13" s="39" t="s">
        <v>20</v>
      </c>
      <c r="C13" t="s">
        <v>13</v>
      </c>
      <c r="D13" s="4" t="s">
        <v>27</v>
      </c>
      <c r="E13" t="s">
        <v>23</v>
      </c>
      <c r="F13" s="1">
        <v>45778</v>
      </c>
      <c r="G13" s="3">
        <v>45931</v>
      </c>
    </row>
    <row r="14" spans="1:19" x14ac:dyDescent="0.2">
      <c r="A14" s="39"/>
      <c r="B14" s="39"/>
      <c r="D14" s="4"/>
      <c r="E14" t="s">
        <v>67</v>
      </c>
      <c r="F14" s="1">
        <v>46296</v>
      </c>
      <c r="G14" s="3">
        <v>46204</v>
      </c>
    </row>
    <row r="15" spans="1:19" x14ac:dyDescent="0.2">
      <c r="A15" s="39"/>
      <c r="B15" s="39"/>
      <c r="E15" t="s">
        <v>10</v>
      </c>
      <c r="F15" s="1">
        <v>45748</v>
      </c>
      <c r="G15" s="3">
        <v>45931</v>
      </c>
    </row>
    <row r="16" spans="1:19" x14ac:dyDescent="0.2">
      <c r="A16" s="39" t="s">
        <v>17</v>
      </c>
      <c r="B16" s="39" t="s">
        <v>18</v>
      </c>
      <c r="C16" t="s">
        <v>16</v>
      </c>
      <c r="D16" t="s">
        <v>19</v>
      </c>
      <c r="E16" t="s">
        <v>24</v>
      </c>
      <c r="F16" s="1">
        <v>45778</v>
      </c>
      <c r="G16" s="3">
        <v>45931</v>
      </c>
    </row>
    <row r="17" spans="1:17" x14ac:dyDescent="0.2">
      <c r="A17" s="39"/>
      <c r="B17" s="39"/>
      <c r="E17" t="s">
        <v>67</v>
      </c>
      <c r="F17" s="1">
        <v>46327</v>
      </c>
      <c r="G17" s="3">
        <v>46204</v>
      </c>
    </row>
    <row r="18" spans="1:17" x14ac:dyDescent="0.2">
      <c r="A18" s="40"/>
      <c r="B18" s="40"/>
      <c r="C18" s="5"/>
      <c r="D18" s="5"/>
      <c r="E18" s="5" t="s">
        <v>10</v>
      </c>
      <c r="F18" s="6">
        <v>45748</v>
      </c>
      <c r="G18" s="7">
        <v>45931</v>
      </c>
    </row>
    <row r="19" spans="1:17" x14ac:dyDescent="0.2">
      <c r="J19" s="46"/>
      <c r="K19" s="46"/>
      <c r="L19" s="46"/>
      <c r="M19" s="46"/>
      <c r="N19" s="46"/>
      <c r="O19" s="46"/>
      <c r="P19" s="46"/>
      <c r="Q19" s="46"/>
    </row>
    <row r="20" spans="1:17" x14ac:dyDescent="0.2">
      <c r="B20" s="2"/>
      <c r="E20" s="2"/>
      <c r="F20" s="2"/>
      <c r="G20" s="2"/>
    </row>
    <row r="21" spans="1:17" x14ac:dyDescent="0.2">
      <c r="A21" s="47" t="s">
        <v>64</v>
      </c>
      <c r="B21" s="48"/>
      <c r="C21" s="48"/>
      <c r="D21" s="48"/>
      <c r="E21" s="48"/>
      <c r="F21" s="48"/>
      <c r="G21" s="48"/>
      <c r="H21" s="48"/>
      <c r="I21" s="48"/>
      <c r="J21" s="49"/>
    </row>
    <row r="22" spans="1:17" x14ac:dyDescent="0.2">
      <c r="A22" s="11" t="s">
        <v>29</v>
      </c>
      <c r="B22" s="12" t="s">
        <v>36</v>
      </c>
      <c r="C22" s="12" t="s">
        <v>30</v>
      </c>
      <c r="D22" s="12" t="s">
        <v>31</v>
      </c>
      <c r="E22" s="12" t="s">
        <v>32</v>
      </c>
      <c r="F22" s="12" t="s">
        <v>34</v>
      </c>
      <c r="G22" s="12" t="s">
        <v>37</v>
      </c>
      <c r="H22" s="12" t="s">
        <v>38</v>
      </c>
      <c r="I22" s="12" t="s">
        <v>35</v>
      </c>
      <c r="J22" s="13" t="s">
        <v>33</v>
      </c>
    </row>
    <row r="23" spans="1:17" x14ac:dyDescent="0.2">
      <c r="A23" s="54" t="s">
        <v>4</v>
      </c>
      <c r="B23" s="55" t="s">
        <v>23</v>
      </c>
      <c r="C23" s="56">
        <f>F9-20</f>
        <v>45758</v>
      </c>
      <c r="D23" s="57">
        <f>C38</f>
        <v>4.9663846429999996</v>
      </c>
      <c r="E23" s="55"/>
      <c r="F23" s="55"/>
      <c r="G23" s="55"/>
      <c r="H23" s="55"/>
      <c r="I23" s="58">
        <f>F9-20</f>
        <v>45758</v>
      </c>
      <c r="J23" s="59">
        <f>E38</f>
        <v>19.82089607</v>
      </c>
    </row>
    <row r="24" spans="1:17" x14ac:dyDescent="0.2">
      <c r="A24" s="60"/>
      <c r="B24" s="61" t="s">
        <v>10</v>
      </c>
      <c r="C24" s="56">
        <v>45778</v>
      </c>
      <c r="D24" s="62">
        <f>0.2*C39</f>
        <v>28.284154960000002</v>
      </c>
      <c r="E24" s="56">
        <v>45793</v>
      </c>
      <c r="F24" s="62">
        <f>C39*0.8</f>
        <v>113.13661984000001</v>
      </c>
      <c r="G24" s="61"/>
      <c r="H24" s="61"/>
      <c r="I24" s="56">
        <f>C24</f>
        <v>45778</v>
      </c>
      <c r="J24" s="63">
        <f>E39</f>
        <v>19.55028317</v>
      </c>
    </row>
    <row r="25" spans="1:17" x14ac:dyDescent="0.2">
      <c r="A25" s="60"/>
      <c r="B25" s="55" t="s">
        <v>67</v>
      </c>
      <c r="C25" s="56">
        <f>F8-20</f>
        <v>46276</v>
      </c>
      <c r="D25" s="62">
        <f>0.35</f>
        <v>0.35</v>
      </c>
      <c r="E25" s="56">
        <f>F8+150</f>
        <v>46446</v>
      </c>
      <c r="F25" s="62">
        <f>0.65</f>
        <v>0.65</v>
      </c>
      <c r="G25" s="61"/>
      <c r="H25" s="61"/>
      <c r="I25" s="56">
        <f>F8-5</f>
        <v>46291</v>
      </c>
      <c r="J25" s="63"/>
    </row>
    <row r="26" spans="1:17" x14ac:dyDescent="0.2">
      <c r="A26" s="54" t="s">
        <v>11</v>
      </c>
      <c r="B26" s="64" t="s">
        <v>23</v>
      </c>
      <c r="C26" s="65">
        <v>45758</v>
      </c>
      <c r="D26" s="66">
        <f>C41</f>
        <v>2.59103E-4</v>
      </c>
      <c r="E26" s="64"/>
      <c r="F26" s="67"/>
      <c r="G26" s="64"/>
      <c r="H26" s="64"/>
      <c r="I26" s="65">
        <f>F10-20</f>
        <v>45758</v>
      </c>
      <c r="J26" s="68">
        <f>E41</f>
        <v>16.28427808</v>
      </c>
    </row>
    <row r="27" spans="1:17" x14ac:dyDescent="0.2">
      <c r="A27" s="60"/>
      <c r="B27" s="61" t="s">
        <v>10</v>
      </c>
      <c r="C27" s="56">
        <v>45728</v>
      </c>
      <c r="D27" s="62">
        <f>C42*0.6</f>
        <v>87.450942479999995</v>
      </c>
      <c r="E27" s="56">
        <v>45748</v>
      </c>
      <c r="F27" s="62">
        <f>0.2*C42</f>
        <v>29.150314160000001</v>
      </c>
      <c r="G27" s="56">
        <v>45793</v>
      </c>
      <c r="H27" s="69">
        <f>F27</f>
        <v>29.150314160000001</v>
      </c>
      <c r="I27" s="56">
        <f>C27</f>
        <v>45728</v>
      </c>
      <c r="J27" s="63">
        <f>E42</f>
        <v>18.13212673</v>
      </c>
    </row>
    <row r="28" spans="1:17" x14ac:dyDescent="0.2">
      <c r="A28" s="60"/>
      <c r="B28" s="61" t="s">
        <v>67</v>
      </c>
      <c r="C28" s="56">
        <f>F11-5</f>
        <v>46291</v>
      </c>
      <c r="D28" s="62">
        <f>0.2*C43</f>
        <v>22.227650100000002</v>
      </c>
      <c r="E28" s="56">
        <f>E31</f>
        <v>46446</v>
      </c>
      <c r="F28" s="62">
        <f>0.8*C43</f>
        <v>88.910600400000007</v>
      </c>
      <c r="G28" s="56"/>
      <c r="H28" s="69"/>
      <c r="I28" s="56">
        <f>F11-20</f>
        <v>46276</v>
      </c>
      <c r="J28" s="63"/>
    </row>
    <row r="29" spans="1:17" x14ac:dyDescent="0.2">
      <c r="A29" s="54" t="s">
        <v>15</v>
      </c>
      <c r="B29" s="64" t="s">
        <v>23</v>
      </c>
      <c r="C29" s="65">
        <v>45758</v>
      </c>
      <c r="D29" s="67">
        <f>C44</f>
        <v>3.9830110588136836</v>
      </c>
      <c r="E29" s="64"/>
      <c r="F29" s="67"/>
      <c r="G29" s="64"/>
      <c r="H29" s="67"/>
      <c r="I29" s="65">
        <f>C29</f>
        <v>45758</v>
      </c>
      <c r="J29" s="68">
        <f>E44</f>
        <v>15.31018916</v>
      </c>
    </row>
    <row r="30" spans="1:17" x14ac:dyDescent="0.2">
      <c r="A30" s="60"/>
      <c r="B30" s="61" t="s">
        <v>10</v>
      </c>
      <c r="C30" s="56">
        <v>45728</v>
      </c>
      <c r="D30" s="62">
        <f>C45*0.6</f>
        <v>81.315530580000001</v>
      </c>
      <c r="E30" s="56">
        <v>45748</v>
      </c>
      <c r="F30" s="62">
        <f>C45*0.2</f>
        <v>27.10517686</v>
      </c>
      <c r="G30" s="56">
        <v>45793</v>
      </c>
      <c r="H30" s="62">
        <f>F30</f>
        <v>27.10517686</v>
      </c>
      <c r="I30" s="56">
        <f>F15-20</f>
        <v>45728</v>
      </c>
      <c r="J30" s="63">
        <f>E45</f>
        <v>17.165134129999998</v>
      </c>
    </row>
    <row r="31" spans="1:17" x14ac:dyDescent="0.2">
      <c r="A31" s="60"/>
      <c r="B31" s="61" t="s">
        <v>67</v>
      </c>
      <c r="C31" s="56">
        <f>F14-5</f>
        <v>46291</v>
      </c>
      <c r="D31" s="62">
        <f>0.2*C46</f>
        <v>19.300530984000002</v>
      </c>
      <c r="E31" s="56">
        <f>F14+150</f>
        <v>46446</v>
      </c>
      <c r="F31" s="62">
        <f>0.8*C40</f>
        <v>91.066878434220655</v>
      </c>
      <c r="G31" s="56"/>
      <c r="H31" s="62"/>
      <c r="I31" s="56">
        <f>F14-20</f>
        <v>46276</v>
      </c>
      <c r="J31" s="63"/>
    </row>
    <row r="32" spans="1:17" x14ac:dyDescent="0.2">
      <c r="A32" s="54" t="s">
        <v>17</v>
      </c>
      <c r="B32" s="64" t="s">
        <v>23</v>
      </c>
      <c r="C32" s="65">
        <v>45758</v>
      </c>
      <c r="D32" s="67">
        <f>C47</f>
        <v>3.2181589430000002</v>
      </c>
      <c r="E32" s="64"/>
      <c r="F32" s="67"/>
      <c r="G32" s="64"/>
      <c r="H32" s="64"/>
      <c r="I32" s="65">
        <f>C32</f>
        <v>45758</v>
      </c>
      <c r="J32" s="70">
        <f>E47</f>
        <v>13.18980135</v>
      </c>
    </row>
    <row r="33" spans="1:10" x14ac:dyDescent="0.2">
      <c r="A33" s="60"/>
      <c r="B33" s="61" t="s">
        <v>10</v>
      </c>
      <c r="C33" s="56">
        <v>45748</v>
      </c>
      <c r="D33" s="62">
        <f>C48*0.75</f>
        <v>112.042156275</v>
      </c>
      <c r="E33" s="56">
        <v>45808</v>
      </c>
      <c r="F33" s="62">
        <f>C48*0.25</f>
        <v>37.347385424999999</v>
      </c>
      <c r="G33" s="56"/>
      <c r="H33" s="61"/>
      <c r="I33" s="56">
        <f>C33</f>
        <v>45748</v>
      </c>
      <c r="J33" s="63">
        <f>E48</f>
        <v>19.453564879999998</v>
      </c>
    </row>
    <row r="34" spans="1:10" x14ac:dyDescent="0.2">
      <c r="A34" s="60"/>
      <c r="B34" s="61" t="s">
        <v>67</v>
      </c>
      <c r="C34" s="56">
        <f>F17-20</f>
        <v>46307</v>
      </c>
      <c r="D34" s="62">
        <f>0.5</f>
        <v>0.5</v>
      </c>
      <c r="E34" s="56">
        <f>F17+150</f>
        <v>46477</v>
      </c>
      <c r="F34" s="62">
        <f>0.5</f>
        <v>0.5</v>
      </c>
      <c r="G34" s="56"/>
      <c r="H34" s="61"/>
      <c r="I34" s="56">
        <f>F17-5</f>
        <v>46322</v>
      </c>
      <c r="J34" s="63"/>
    </row>
    <row r="35" spans="1:10" x14ac:dyDescent="0.2">
      <c r="C35" s="1"/>
      <c r="G35" s="1"/>
    </row>
    <row r="36" spans="1:10" x14ac:dyDescent="0.2">
      <c r="A36" s="41" t="s">
        <v>65</v>
      </c>
      <c r="B36" s="42"/>
      <c r="C36" s="42"/>
      <c r="D36" s="42"/>
      <c r="E36" s="42"/>
      <c r="F36" s="43"/>
      <c r="G36" s="19"/>
    </row>
    <row r="37" spans="1:10" x14ac:dyDescent="0.2">
      <c r="A37" s="11" t="s">
        <v>29</v>
      </c>
      <c r="B37" s="12" t="s">
        <v>36</v>
      </c>
      <c r="C37" s="12" t="s">
        <v>40</v>
      </c>
      <c r="D37" s="12" t="s">
        <v>41</v>
      </c>
      <c r="E37" s="12" t="s">
        <v>42</v>
      </c>
      <c r="F37" s="13" t="s">
        <v>43</v>
      </c>
      <c r="G37" s="19"/>
      <c r="H37" s="19"/>
      <c r="I37" s="19"/>
    </row>
    <row r="38" spans="1:10" x14ac:dyDescent="0.2">
      <c r="A38" s="38" t="s">
        <v>4</v>
      </c>
      <c r="B38" s="29" t="s">
        <v>23</v>
      </c>
      <c r="C38" s="14">
        <v>4.9663846429999996</v>
      </c>
      <c r="D38" s="29"/>
      <c r="E38" s="30">
        <v>19.82089607</v>
      </c>
      <c r="F38" s="31"/>
      <c r="G38" s="19"/>
      <c r="H38" s="19"/>
      <c r="I38" s="19"/>
    </row>
    <row r="39" spans="1:10" x14ac:dyDescent="0.2">
      <c r="A39" s="39"/>
      <c r="B39" t="s">
        <v>10</v>
      </c>
      <c r="C39" s="18">
        <v>141.4207748</v>
      </c>
      <c r="D39" s="18"/>
      <c r="E39" s="18">
        <v>19.55028317</v>
      </c>
      <c r="F39" s="20"/>
    </row>
    <row r="40" spans="1:10" x14ac:dyDescent="0.2">
      <c r="A40" s="39"/>
      <c r="B40" t="s">
        <v>67</v>
      </c>
      <c r="C40" s="18">
        <v>113.8335980427758</v>
      </c>
      <c r="D40" s="18"/>
      <c r="E40" s="18">
        <v>24.699201410000001</v>
      </c>
      <c r="F40" s="20"/>
    </row>
    <row r="41" spans="1:10" x14ac:dyDescent="0.2">
      <c r="A41" s="38" t="s">
        <v>11</v>
      </c>
      <c r="B41" s="14" t="s">
        <v>23</v>
      </c>
      <c r="C41" s="25">
        <v>2.59103E-4</v>
      </c>
      <c r="D41" s="25"/>
      <c r="E41" s="25">
        <v>16.28427808</v>
      </c>
      <c r="F41" s="27"/>
      <c r="G41" s="18"/>
    </row>
    <row r="42" spans="1:10" x14ac:dyDescent="0.2">
      <c r="A42" s="39"/>
      <c r="B42" t="s">
        <v>10</v>
      </c>
      <c r="C42" s="18">
        <v>145.7515708</v>
      </c>
      <c r="D42" s="18"/>
      <c r="E42" s="18">
        <v>18.13212673</v>
      </c>
      <c r="F42" s="20"/>
      <c r="G42" s="18"/>
    </row>
    <row r="43" spans="1:10" x14ac:dyDescent="0.2">
      <c r="A43" s="39"/>
      <c r="B43" t="s">
        <v>67</v>
      </c>
      <c r="C43" s="18">
        <v>111.1382505</v>
      </c>
      <c r="D43" s="18"/>
      <c r="E43" s="18">
        <v>35.921968370000002</v>
      </c>
      <c r="F43" s="20"/>
      <c r="G43" s="18"/>
    </row>
    <row r="44" spans="1:10" x14ac:dyDescent="0.2">
      <c r="A44" s="38" t="s">
        <v>15</v>
      </c>
      <c r="B44" s="14" t="s">
        <v>23</v>
      </c>
      <c r="C44" s="25">
        <v>3.9830110588136836</v>
      </c>
      <c r="D44" s="25"/>
      <c r="E44" s="25">
        <v>15.31018916</v>
      </c>
      <c r="F44" s="27"/>
      <c r="G44" s="18"/>
    </row>
    <row r="45" spans="1:10" x14ac:dyDescent="0.2">
      <c r="A45" s="39"/>
      <c r="B45" t="s">
        <v>10</v>
      </c>
      <c r="C45" s="18">
        <v>135.5258843</v>
      </c>
      <c r="D45" s="18"/>
      <c r="E45" s="18">
        <v>17.165134129999998</v>
      </c>
      <c r="F45" s="20"/>
      <c r="G45" s="18"/>
    </row>
    <row r="46" spans="1:10" x14ac:dyDescent="0.2">
      <c r="A46" s="39"/>
      <c r="B46" t="s">
        <v>67</v>
      </c>
      <c r="C46" s="18">
        <v>96.502654919999998</v>
      </c>
      <c r="D46" s="18"/>
      <c r="E46" s="18">
        <v>29.27951848</v>
      </c>
      <c r="F46" s="20"/>
      <c r="G46" s="18"/>
    </row>
    <row r="47" spans="1:10" x14ac:dyDescent="0.2">
      <c r="A47" s="39" t="s">
        <v>17</v>
      </c>
      <c r="B47" t="s">
        <v>23</v>
      </c>
      <c r="C47" s="18">
        <v>3.2181589430000002</v>
      </c>
      <c r="D47" s="18"/>
      <c r="E47" s="18">
        <v>13.18980135</v>
      </c>
      <c r="F47" s="20"/>
      <c r="G47" s="18"/>
    </row>
    <row r="48" spans="1:10" x14ac:dyDescent="0.2">
      <c r="A48" s="39"/>
      <c r="B48" t="s">
        <v>10</v>
      </c>
      <c r="C48" s="18">
        <v>149.3895417</v>
      </c>
      <c r="D48" s="18"/>
      <c r="E48" s="18">
        <v>19.453564879999998</v>
      </c>
      <c r="F48" s="20"/>
      <c r="G48" s="18"/>
    </row>
    <row r="49" spans="1:7" x14ac:dyDescent="0.2">
      <c r="A49" s="39"/>
      <c r="B49" t="s">
        <v>67</v>
      </c>
      <c r="C49" s="18">
        <v>130.3741789</v>
      </c>
      <c r="D49" s="18"/>
      <c r="E49" s="18">
        <v>41.706257669999999</v>
      </c>
      <c r="F49" s="20"/>
      <c r="G49" s="18"/>
    </row>
  </sheetData>
  <mergeCells count="20">
    <mergeCell ref="J19:Q19"/>
    <mergeCell ref="A21:J21"/>
    <mergeCell ref="A26:A28"/>
    <mergeCell ref="A29:A31"/>
    <mergeCell ref="A5:G5"/>
    <mergeCell ref="A10:A12"/>
    <mergeCell ref="B10:B12"/>
    <mergeCell ref="A13:A15"/>
    <mergeCell ref="B13:B15"/>
    <mergeCell ref="A47:A49"/>
    <mergeCell ref="A23:A25"/>
    <mergeCell ref="A38:A40"/>
    <mergeCell ref="A7:A9"/>
    <mergeCell ref="B7:B9"/>
    <mergeCell ref="A32:A34"/>
    <mergeCell ref="A36:F36"/>
    <mergeCell ref="A41:A43"/>
    <mergeCell ref="A44:A46"/>
    <mergeCell ref="A16:A18"/>
    <mergeCell ref="B16:B1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HAY LAND-2000</vt:lpstr>
      <vt:lpstr>ROW CROPS-2000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Maya Kaur Struzak</dc:creator>
  <cp:lastModifiedBy>Maya Kaur Struzak</cp:lastModifiedBy>
  <dcterms:created xsi:type="dcterms:W3CDTF">2025-05-16T20:05:32Z</dcterms:created>
  <dcterms:modified xsi:type="dcterms:W3CDTF">2026-07-21T17:21:19Z</dcterms:modified>
</cp:coreProperties>
</file>